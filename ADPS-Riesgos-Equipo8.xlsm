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rio Jimenez\Desktop\Semestre 5\Admin Proyectos\"/>
    </mc:Choice>
  </mc:AlternateContent>
  <xr:revisionPtr revIDLastSave="0" documentId="8_{84BB0073-6AE2-4099-BD4D-A4260FF065CC}" xr6:coauthVersionLast="47" xr6:coauthVersionMax="47" xr10:uidLastSave="{00000000-0000-0000-0000-000000000000}"/>
  <bookViews>
    <workbookView xWindow="-120" yWindow="-120" windowWidth="20730" windowHeight="11160" activeTab="2" xr2:uid="{00000000-000D-0000-FFFF-FFFF00000000}"/>
  </bookViews>
  <sheets>
    <sheet name="Administración de riesgos" sheetId="1" r:id="rId1"/>
    <sheet name="Pagina " sheetId="3" r:id="rId2"/>
    <sheet name="Definición y control" sheetId="2" r:id="rId3"/>
  </sheets>
  <externalReferences>
    <externalReference r:id="rId4"/>
  </externalReferences>
  <definedNames>
    <definedName name="KIND">[1]Temp!$A$19:$D$19</definedName>
    <definedName name="LIFECYCLE">[1]Temp!$A$21:$D$21</definedName>
    <definedName name="QGOAL">[1]Temp!$A$16:$V$16</definedName>
  </definedNames>
  <calcPr calcId="191028"/>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5" i="2" l="1"/>
  <c r="G14" i="2"/>
  <c r="G13" i="2"/>
  <c r="G12" i="2"/>
  <c r="G11" i="2"/>
  <c r="G10" i="2"/>
  <c r="G9" i="2"/>
  <c r="G8" i="2"/>
  <c r="G7" i="2"/>
  <c r="G6" i="2"/>
  <c r="G5" i="2"/>
  <c r="G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matsuura</author>
  </authors>
  <commentList>
    <comment ref="D2" authorId="0" shapeId="0" xr:uid="{1DD754F4-04E6-45AA-83DE-327519A9B76D}">
      <text>
        <r>
          <rPr>
            <b/>
            <sz val="9"/>
            <color indexed="81"/>
            <rFont val="ＭＳ Ｐゴシック"/>
            <family val="3"/>
            <charset val="128"/>
          </rPr>
          <t>Fecha en la que se escribe el riesgo en la hoja de registro</t>
        </r>
      </text>
    </comment>
    <comment ref="H2" authorId="0" shapeId="0" xr:uid="{43272FA2-E3D8-430F-B33F-BCE9BD9FCE42}">
      <text>
        <r>
          <rPr>
            <b/>
            <sz val="9"/>
            <color indexed="81"/>
            <rFont val="ＭＳ Ｐゴシック"/>
            <family val="3"/>
            <charset val="128"/>
          </rPr>
          <t>Prioridad calculada a partir de la multiplicación de impacto por probabilidad.
Ejemplo
Probabilidad 3, Impacto 2 
Prioridad = 3 * 2 = 6 (High)</t>
        </r>
      </text>
    </comment>
    <comment ref="K2" authorId="0" shapeId="0" xr:uid="{B0FD4F7F-1453-4B4B-9AC0-960AD9324A12}">
      <text>
        <r>
          <rPr>
            <b/>
            <sz val="9"/>
            <color indexed="81"/>
            <rFont val="ＭＳ Ｐゴシック"/>
            <family val="3"/>
            <charset val="128"/>
          </rPr>
          <t>(1) Abierto:
El riesgo es latente y puede ocurrir por lo que requiere monitoreo
(2) Cerrado: 
La fecha probable de ocurrencia ya paso por lo tanto el riesgo no aplica; o bien, el riesgo ocurrió y fue atendido a través de una acción de mitigación.</t>
        </r>
      </text>
    </comment>
    <comment ref="L2" authorId="0" shapeId="0" xr:uid="{553F6D9B-A7A3-4CC6-BB86-94BBB40D6F12}">
      <text>
        <r>
          <rPr>
            <b/>
            <sz val="9"/>
            <color indexed="81"/>
            <rFont val="ＭＳ Ｐゴシック"/>
            <family val="3"/>
            <charset val="128"/>
          </rPr>
          <t xml:space="preserve">Describe la situación en caso de que el riego se presente, incluyedo la fecha. Este es un registro histórico importante
</t>
        </r>
      </text>
    </comment>
    <comment ref="M2" authorId="0" shapeId="0" xr:uid="{51DDDC7A-002E-46D6-B9E1-07BE679A52A2}">
      <text>
        <r>
          <rPr>
            <b/>
            <sz val="9"/>
            <color indexed="81"/>
            <rFont val="ＭＳ Ｐゴシック"/>
            <family val="3"/>
            <charset val="128"/>
          </rPr>
          <t xml:space="preserve">Registra las acciones de mitigación que se aplicaron y el grado de efectividad
</t>
        </r>
      </text>
    </comment>
    <comment ref="I3" authorId="0" shapeId="0" xr:uid="{44A60DD6-5AD6-4F78-A7A5-18A88D884D15}">
      <text>
        <r>
          <rPr>
            <b/>
            <sz val="9"/>
            <color indexed="81"/>
            <rFont val="ＭＳ Ｐゴシック"/>
            <family val="3"/>
            <charset val="128"/>
          </rPr>
          <t xml:space="preserve">Escribir la acción de mitigación para reducir, evitar impacto
</t>
        </r>
      </text>
    </comment>
  </commentList>
</comments>
</file>

<file path=xl/sharedStrings.xml><?xml version="1.0" encoding="utf-8"?>
<sst xmlns="http://schemas.openxmlformats.org/spreadsheetml/2006/main" count="156" uniqueCount="97">
  <si>
    <t>Administración de riesgos</t>
  </si>
  <si>
    <t>(1)　Los riesgos se identificar al realizar la planeación.
(2)　Cada riesgo debe tratarse acorde a su nivel de prioridad. 
        El impacto y la probabilidad se re-evalua durante el progreso del proyecto.
(3)   Los riesgos que ocurren se transcriben en la hoja de riesgos y se les da seguimiento hasta resolverse.
(4)  Cuando nuevos riesgos ocurren, también se agregan a la hoja de control y se les da seguimiento.</t>
  </si>
  <si>
    <t>Prioridad o severidad</t>
  </si>
  <si>
    <t>Probabilidad</t>
  </si>
  <si>
    <t>Impacto</t>
  </si>
  <si>
    <t>High</t>
  </si>
  <si>
    <t>Tiene una alta probabilidad de ocurrir y puede impactar a todo el proyecto (&gt;0.5)</t>
  </si>
  <si>
    <t>No es factible continuar con la ejecución del proyecto por lo que debe resolverse inmediatamente</t>
  </si>
  <si>
    <t>Medium</t>
  </si>
  <si>
    <t>Existe una probabilidad de 0.5 de ocurrencia</t>
  </si>
  <si>
    <t>Requiere resolverse aunque no impide la ejecución de otras actividades</t>
  </si>
  <si>
    <t>Low</t>
  </si>
  <si>
    <t>Baja probabilidad de ocurrencia (&lt;0.5)</t>
  </si>
  <si>
    <t>Necesita resolverse lo antes posible, aunque existen otras alternativas para realizar la ejecución</t>
  </si>
  <si>
    <t>Acciones</t>
  </si>
  <si>
    <t>AMENAZA</t>
  </si>
  <si>
    <t>OPORTUNIDAD</t>
  </si>
  <si>
    <t>Evito</t>
  </si>
  <si>
    <t>Exploto</t>
  </si>
  <si>
    <t>Transfiero</t>
  </si>
  <si>
    <t>Comparto</t>
  </si>
  <si>
    <t>Mitigo</t>
  </si>
  <si>
    <t>Atiendo</t>
  </si>
  <si>
    <t>Monitoreo y control (riesgos que ocurren)</t>
  </si>
  <si>
    <t>ID del riesgo</t>
  </si>
  <si>
    <t>Categoria del riesgo</t>
  </si>
  <si>
    <t>Descripción de riesgo e impacto</t>
  </si>
  <si>
    <t>Fecha de identificación</t>
  </si>
  <si>
    <t>Severidad</t>
  </si>
  <si>
    <t>Prioridad</t>
  </si>
  <si>
    <t>Medidas de mitigación</t>
  </si>
  <si>
    <t>Estatus</t>
  </si>
  <si>
    <t>Situación del riesgo</t>
  </si>
  <si>
    <t>Situación de mitigación</t>
  </si>
  <si>
    <t>Num. De reporte</t>
  </si>
  <si>
    <t>Acción de mitigación</t>
  </si>
  <si>
    <t>Fecha de realización</t>
  </si>
  <si>
    <t>R1</t>
  </si>
  <si>
    <t>técnica</t>
  </si>
  <si>
    <t>Equipo descompuesto</t>
  </si>
  <si>
    <t>Media</t>
  </si>
  <si>
    <t>Usar el equipo de alguien más</t>
  </si>
  <si>
    <t>close</t>
  </si>
  <si>
    <t>atiendo</t>
  </si>
  <si>
    <t>R2</t>
  </si>
  <si>
    <t>Technical</t>
  </si>
  <si>
    <t>Rendimiento o tiempo de respuesta mayor al pemitido</t>
  </si>
  <si>
    <t>Alta</t>
  </si>
  <si>
    <t>Contratar a un servidor con mejores caracteristicas y rednimiento</t>
  </si>
  <si>
    <t>open</t>
  </si>
  <si>
    <t>evito</t>
  </si>
  <si>
    <t>R3</t>
  </si>
  <si>
    <t>Facilidad de cambio</t>
  </si>
  <si>
    <t xml:space="preserve">Intentar dismunuir el impacto </t>
  </si>
  <si>
    <t>exploto</t>
  </si>
  <si>
    <t>R4</t>
  </si>
  <si>
    <t>Internet de baja confiabilidad</t>
  </si>
  <si>
    <t>Baja</t>
  </si>
  <si>
    <t>Tener mas de una conexión a intenet</t>
  </si>
  <si>
    <t>trasnfiero</t>
  </si>
  <si>
    <t>R6</t>
  </si>
  <si>
    <t>Organizational</t>
  </si>
  <si>
    <t>Comunicación deficiente</t>
  </si>
  <si>
    <t>Fomentar reuniones para el reporte de avanzes y dificultades encontradas</t>
  </si>
  <si>
    <t>R7</t>
  </si>
  <si>
    <t>Falta de compromiso</t>
  </si>
  <si>
    <t>Hacer una llamada de antencion al personal</t>
  </si>
  <si>
    <t>R8</t>
  </si>
  <si>
    <t xml:space="preserve">Personal de medio tiempo </t>
  </si>
  <si>
    <t>Dejar las tareas mas importantes al personal de medio tiempo</t>
  </si>
  <si>
    <t>comparto</t>
  </si>
  <si>
    <t>R9</t>
  </si>
  <si>
    <t>Experiencia en la aplicación</t>
  </si>
  <si>
    <t>Tomar cursos especializados en la aplicación para un aumento de conocimiento</t>
  </si>
  <si>
    <t>R11</t>
  </si>
  <si>
    <t>Poca experiencia en la aplicación de desarrollo</t>
  </si>
  <si>
    <t>Proveer cursos al personal para el apredizaje de la tecnoligia utilizada</t>
  </si>
  <si>
    <t>R12</t>
  </si>
  <si>
    <t xml:space="preserve">Business </t>
  </si>
  <si>
    <t>Cambios en los interesados</t>
  </si>
  <si>
    <t xml:space="preserve">Mantener comunicación con los interesados </t>
  </si>
  <si>
    <t>R13</t>
  </si>
  <si>
    <t>Cambio en la orientacion de la pagina</t>
  </si>
  <si>
    <t>R14</t>
  </si>
  <si>
    <t>Product</t>
  </si>
  <si>
    <t>No cumplir con las espectativas</t>
  </si>
  <si>
    <t>Diseñar y manetener al usuario al tanto del progreso para verificar su aceptación</t>
  </si>
  <si>
    <t>transfiero</t>
  </si>
  <si>
    <t>Oportunidad</t>
  </si>
  <si>
    <t>Efectividad: 4</t>
  </si>
  <si>
    <t>Efectividad: 9</t>
  </si>
  <si>
    <t>Efectividad: 3</t>
  </si>
  <si>
    <t>Efectividad: 8</t>
  </si>
  <si>
    <t>Efectividad: 6</t>
  </si>
  <si>
    <t>Efectividad: 7</t>
  </si>
  <si>
    <t xml:space="preserve">Página de información sobre la Polinización </t>
  </si>
  <si>
    <t xml:space="preserve">Desarrollar una página web de distribución de información sobre conservación de polinizadores que aumente el número de interés de la sociedad con un número de constante de personas, incrementando el número de visitas en la página un 45% en un plazo de 2 meses (noviembre-diciembre).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</si>
</sst>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15">
    <font>
      <sz val="11"/>
      <name val="ＭＳ Ｐゴシック"/>
      <family val="3"/>
      <charset val="128"/>
    </font>
    <font>
      <sz val="11"/>
      <name val="ＭＳ Ｐゴシック"/>
      <family val="3"/>
      <charset val="128"/>
    </font>
    <font>
      <sz val="10"/>
      <name val="Arial"/>
      <family val="2"/>
    </font>
    <font>
      <sz val="6"/>
      <name val="ＭＳ Ｐゴシック"/>
      <family val="3"/>
      <charset val="128"/>
    </font>
    <font>
      <sz val="9"/>
      <name val="Arial"/>
      <family val="2"/>
    </font>
    <font>
      <b/>
      <sz val="9"/>
      <color indexed="81"/>
      <name val="ＭＳ Ｐゴシック"/>
      <family val="3"/>
      <charset val="128"/>
    </font>
    <font>
      <b/>
      <sz val="16"/>
      <color indexed="12"/>
      <name val="Arial"/>
      <family val="2"/>
    </font>
    <font>
      <sz val="11"/>
      <color indexed="12"/>
      <name val="Arial"/>
      <family val="2"/>
    </font>
    <font>
      <i/>
      <sz val="11"/>
      <color indexed="12"/>
      <name val="Arial"/>
      <family val="2"/>
    </font>
    <font>
      <sz val="9"/>
      <color indexed="12"/>
      <name val="Arial"/>
      <family val="2"/>
    </font>
    <font>
      <sz val="11"/>
      <name val="Arial"/>
      <family val="2"/>
    </font>
    <font>
      <sz val="11"/>
      <color indexed="55"/>
      <name val="Arial"/>
      <family val="2"/>
    </font>
    <font>
      <b/>
      <sz val="11"/>
      <color indexed="12"/>
      <name val="Arial"/>
      <family val="2"/>
    </font>
    <font>
      <sz val="8"/>
      <name val="ＭＳ Ｐゴシック"/>
      <family val="3"/>
      <charset val="128"/>
    </font>
    <font>
      <u/>
      <sz val="11"/>
      <name val="ＭＳ Ｐゴシック"/>
      <family val="3"/>
      <charset val="128"/>
    </font>
  </fonts>
  <fills count="6">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indexed="42"/>
        <bgColor indexed="64"/>
      </patternFill>
    </fill>
    <fill>
      <patternFill patternType="solid">
        <fgColor rgb="FF92D050"/>
        <bgColor indexed="64"/>
      </patternFill>
    </fill>
  </fills>
  <borders count="24">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top style="medium">
        <color indexed="64"/>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alignment vertical="center"/>
    </xf>
    <xf numFmtId="0" fontId="2" fillId="0" borderId="0"/>
    <xf numFmtId="0" fontId="1" fillId="0" borderId="0"/>
  </cellStyleXfs>
  <cellXfs count="58">
    <xf numFmtId="0" fontId="0" fillId="0" borderId="0" xfId="0">
      <alignment vertical="center"/>
    </xf>
    <xf numFmtId="0" fontId="4" fillId="0" borderId="0" xfId="1" applyFont="1"/>
    <xf numFmtId="0" fontId="4" fillId="0" borderId="0" xfId="0" applyFont="1">
      <alignment vertical="center"/>
    </xf>
    <xf numFmtId="0" fontId="8" fillId="0" borderId="0" xfId="2" applyFont="1" applyAlignment="1">
      <alignment vertical="top" wrapText="1"/>
    </xf>
    <xf numFmtId="0" fontId="7" fillId="2" borderId="1" xfId="0" applyFont="1" applyFill="1" applyBorder="1" applyAlignment="1">
      <alignment horizontal="center" vertical="center"/>
    </xf>
    <xf numFmtId="0" fontId="10" fillId="0" borderId="3" xfId="0" applyFont="1" applyBorder="1">
      <alignment vertical="center"/>
    </xf>
    <xf numFmtId="164" fontId="10" fillId="0" borderId="4" xfId="0" applyNumberFormat="1" applyFont="1" applyBorder="1">
      <alignment vertical="center"/>
    </xf>
    <xf numFmtId="0" fontId="10" fillId="0" borderId="4" xfId="0" applyFont="1" applyBorder="1" applyAlignment="1">
      <alignment horizontal="center" vertical="center"/>
    </xf>
    <xf numFmtId="0" fontId="10" fillId="0" borderId="5" xfId="0" applyFont="1" applyBorder="1">
      <alignment vertical="center"/>
    </xf>
    <xf numFmtId="0" fontId="10" fillId="0" borderId="6" xfId="0" applyFont="1" applyBorder="1">
      <alignment vertical="center"/>
    </xf>
    <xf numFmtId="0" fontId="10" fillId="0" borderId="7" xfId="0" applyFont="1" applyBorder="1">
      <alignment vertical="center"/>
    </xf>
    <xf numFmtId="0" fontId="10" fillId="0" borderId="0" xfId="0" applyFont="1">
      <alignment vertical="center"/>
    </xf>
    <xf numFmtId="0" fontId="10" fillId="0" borderId="8" xfId="0" applyFont="1" applyBorder="1">
      <alignment vertical="center"/>
    </xf>
    <xf numFmtId="0" fontId="10" fillId="0" borderId="9" xfId="0" applyFont="1" applyBorder="1">
      <alignment vertical="center"/>
    </xf>
    <xf numFmtId="164" fontId="10" fillId="0" borderId="9" xfId="0" applyNumberFormat="1" applyFont="1" applyBorder="1">
      <alignment vertical="center"/>
    </xf>
    <xf numFmtId="0" fontId="10" fillId="0" borderId="9" xfId="0" applyFont="1" applyBorder="1" applyAlignment="1">
      <alignment horizontal="center" vertical="center"/>
    </xf>
    <xf numFmtId="0" fontId="10" fillId="0" borderId="10" xfId="0" applyFont="1" applyBorder="1">
      <alignment vertical="center"/>
    </xf>
    <xf numFmtId="0" fontId="10" fillId="0" borderId="11" xfId="0" applyFont="1" applyBorder="1">
      <alignment vertical="center"/>
    </xf>
    <xf numFmtId="0" fontId="10" fillId="0" borderId="12" xfId="0" applyFont="1" applyBorder="1">
      <alignment vertical="center"/>
    </xf>
    <xf numFmtId="164" fontId="10" fillId="0" borderId="12" xfId="0" applyNumberFormat="1" applyFont="1" applyBorder="1">
      <alignment vertical="center"/>
    </xf>
    <xf numFmtId="0" fontId="10" fillId="0" borderId="12" xfId="0" applyFont="1" applyBorder="1" applyAlignment="1">
      <alignment horizontal="center" vertical="center"/>
    </xf>
    <xf numFmtId="0" fontId="10" fillId="0" borderId="13" xfId="0" applyFont="1" applyBorder="1">
      <alignment vertical="center"/>
    </xf>
    <xf numFmtId="0" fontId="11" fillId="0" borderId="0" xfId="0" applyFont="1">
      <alignment vertical="center"/>
    </xf>
    <xf numFmtId="0" fontId="8" fillId="0" borderId="9" xfId="2" applyFont="1" applyBorder="1" applyAlignment="1">
      <alignment vertical="top" wrapText="1"/>
    </xf>
    <xf numFmtId="0" fontId="12" fillId="5" borderId="9" xfId="2" applyFont="1" applyFill="1" applyBorder="1" applyAlignment="1">
      <alignment horizontal="center" vertical="center" wrapText="1"/>
    </xf>
    <xf numFmtId="0" fontId="8" fillId="0" borderId="9" xfId="2" applyFont="1" applyBorder="1" applyAlignment="1">
      <alignment horizontal="center" vertical="top" wrapText="1"/>
    </xf>
    <xf numFmtId="0" fontId="7" fillId="2" borderId="2" xfId="0" applyFont="1" applyFill="1" applyBorder="1" applyAlignment="1">
      <alignment horizontal="center" vertical="center" wrapText="1"/>
    </xf>
    <xf numFmtId="0" fontId="0" fillId="0" borderId="9" xfId="0" applyBorder="1">
      <alignment vertical="center"/>
    </xf>
    <xf numFmtId="0" fontId="0" fillId="0" borderId="9" xfId="0" applyBorder="1" applyAlignment="1">
      <alignment horizontal="center"/>
    </xf>
    <xf numFmtId="0" fontId="0" fillId="0" borderId="9" xfId="0" applyBorder="1" applyAlignment="1">
      <alignment horizontal="center" wrapText="1"/>
    </xf>
    <xf numFmtId="0" fontId="10" fillId="0" borderId="9" xfId="0" applyFont="1" applyBorder="1" applyAlignment="1">
      <alignment vertical="center" wrapText="1"/>
    </xf>
    <xf numFmtId="0" fontId="14" fillId="0" borderId="0" xfId="0" applyFont="1">
      <alignment vertical="center"/>
    </xf>
    <xf numFmtId="0" fontId="6" fillId="3" borderId="15" xfId="1" applyFont="1" applyFill="1" applyBorder="1" applyAlignment="1">
      <alignment horizontal="center"/>
    </xf>
    <xf numFmtId="0" fontId="8" fillId="0" borderId="9" xfId="2" applyFont="1" applyBorder="1" applyAlignment="1">
      <alignment vertical="top" wrapText="1"/>
    </xf>
    <xf numFmtId="0" fontId="8" fillId="0" borderId="15" xfId="2" applyFont="1" applyBorder="1" applyAlignment="1">
      <alignment horizontal="center" vertical="top"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7" fillId="4" borderId="6" xfId="0" applyFont="1" applyFill="1" applyBorder="1" applyAlignment="1">
      <alignment horizontal="center" vertical="center" wrapText="1"/>
    </xf>
    <xf numFmtId="0" fontId="7" fillId="4" borderId="12" xfId="0" applyFont="1" applyFill="1" applyBorder="1" applyAlignment="1">
      <alignment horizontal="center" vertical="center" wrapText="1"/>
    </xf>
    <xf numFmtId="0" fontId="7" fillId="4" borderId="7" xfId="0" applyFont="1" applyFill="1" applyBorder="1" applyAlignment="1">
      <alignment horizontal="center" vertical="center" wrapText="1"/>
    </xf>
    <xf numFmtId="0" fontId="7" fillId="4" borderId="13" xfId="0" applyFont="1" applyFill="1" applyBorder="1" applyAlignment="1">
      <alignment horizontal="center" vertical="center" wrapText="1"/>
    </xf>
    <xf numFmtId="0" fontId="9" fillId="2" borderId="3" xfId="0" applyFont="1" applyFill="1" applyBorder="1">
      <alignment vertical="center"/>
    </xf>
    <xf numFmtId="0" fontId="9" fillId="2" borderId="14" xfId="0" applyFont="1" applyFill="1" applyBorder="1">
      <alignment vertical="center"/>
    </xf>
    <xf numFmtId="0" fontId="7" fillId="2" borderId="19" xfId="0" applyFont="1" applyFill="1" applyBorder="1" applyAlignment="1">
      <alignment horizontal="center" vertical="center"/>
    </xf>
    <xf numFmtId="0" fontId="7" fillId="2" borderId="20" xfId="0" applyFont="1" applyFill="1" applyBorder="1" applyAlignment="1">
      <alignment horizontal="center" vertical="center"/>
    </xf>
    <xf numFmtId="0" fontId="7" fillId="2" borderId="16" xfId="0" applyFont="1" applyFill="1" applyBorder="1" applyAlignment="1">
      <alignment horizontal="center" vertical="center" wrapText="1"/>
    </xf>
    <xf numFmtId="0" fontId="7" fillId="2" borderId="17" xfId="0" applyFont="1" applyFill="1" applyBorder="1" applyAlignment="1">
      <alignment horizontal="center" vertical="center" wrapText="1"/>
    </xf>
    <xf numFmtId="0" fontId="7" fillId="2" borderId="16" xfId="0" applyFont="1" applyFill="1" applyBorder="1" applyAlignment="1">
      <alignment horizontal="center" vertical="center"/>
    </xf>
    <xf numFmtId="0" fontId="7" fillId="2" borderId="17"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7" fillId="2" borderId="4" xfId="0" applyFont="1" applyFill="1" applyBorder="1" applyAlignment="1">
      <alignment horizontal="center" vertical="center"/>
    </xf>
    <xf numFmtId="0" fontId="7" fillId="2" borderId="18" xfId="0" applyFont="1" applyFill="1" applyBorder="1" applyAlignment="1">
      <alignment horizontal="center" vertical="center"/>
    </xf>
    <xf numFmtId="0" fontId="7" fillId="4" borderId="5" xfId="0" applyFont="1" applyFill="1" applyBorder="1" applyAlignment="1">
      <alignment horizontal="center" vertical="center"/>
    </xf>
    <xf numFmtId="0" fontId="7" fillId="4" borderId="11" xfId="0" applyFont="1" applyFill="1" applyBorder="1" applyAlignment="1">
      <alignment horizontal="center" vertical="center"/>
    </xf>
  </cellXfs>
  <cellStyles count="3">
    <cellStyle name="Normal" xfId="0" builtinId="0"/>
    <cellStyle name="標準_REQM_20100521" xfId="1" xr:uid="{00000000-0005-0000-0000-000001000000}"/>
    <cellStyle name="標準_ドラレコ_リスク管理表" xfId="2" xr:uid="{00000000-0005-0000-0000-000002000000}"/>
  </cellStyles>
  <dxfs count="9">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externalLink" Target="externalLinks/externalLink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r>
              <a:rPr lang="es-MX"/>
              <a:t>Cuenta de atiendo</a:t>
            </a:r>
          </a:p>
        </c:rich>
      </c:tx>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s-MX"/>
        </a:p>
      </c:txPr>
    </c:title>
    <c:autoTitleDeleted val="0"/>
    <c:plotArea>
      <c:layout/>
      <c:barChart>
        <c:barDir val="col"/>
        <c:grouping val="clustered"/>
        <c:varyColors val="0"/>
        <c:ser>
          <c:idx val="0"/>
          <c:order val="0"/>
          <c:tx>
            <c:v>Cuenta de atiendo</c:v>
          </c:tx>
          <c:spPr>
            <a:gradFill>
              <a:gsLst>
                <a:gs pos="0">
                  <a:schemeClr val="accent2"/>
                </a:gs>
                <a:gs pos="100000">
                  <a:schemeClr val="accent2">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MX"/>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5"/>
              <c:pt idx="0">
                <c:v>atiendo</c:v>
              </c:pt>
              <c:pt idx="1">
                <c:v>comparto</c:v>
              </c:pt>
              <c:pt idx="2">
                <c:v>evito</c:v>
              </c:pt>
              <c:pt idx="3">
                <c:v>exploto</c:v>
              </c:pt>
              <c:pt idx="4">
                <c:v>trasnfiero</c:v>
              </c:pt>
            </c:strLit>
          </c:cat>
          <c:val>
            <c:numLit>
              <c:formatCode>General</c:formatCode>
              <c:ptCount val="5"/>
              <c:pt idx="0">
                <c:v>2</c:v>
              </c:pt>
              <c:pt idx="1">
                <c:v>1</c:v>
              </c:pt>
              <c:pt idx="2">
                <c:v>3</c:v>
              </c:pt>
              <c:pt idx="3">
                <c:v>4</c:v>
              </c:pt>
              <c:pt idx="4">
                <c:v>1</c:v>
              </c:pt>
            </c:numLit>
          </c:val>
          <c:extLst>
            <c:ext xmlns:c16="http://schemas.microsoft.com/office/drawing/2014/chart" uri="{C3380CC4-5D6E-409C-BE32-E72D297353CC}">
              <c16:uniqueId val="{00000000-944F-4966-BB8C-BB999E496A8C}"/>
            </c:ext>
          </c:extLst>
        </c:ser>
        <c:dLbls>
          <c:dLblPos val="inEnd"/>
          <c:showLegendKey val="0"/>
          <c:showVal val="1"/>
          <c:showCatName val="0"/>
          <c:showSerName val="0"/>
          <c:showPercent val="0"/>
          <c:showBubbleSize val="0"/>
        </c:dLbls>
        <c:gapWidth val="41"/>
        <c:axId val="1591573551"/>
        <c:axId val="1591579791"/>
      </c:barChart>
      <c:catAx>
        <c:axId val="159157355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s-MX"/>
          </a:p>
        </c:txPr>
        <c:crossAx val="1591579791"/>
        <c:crosses val="autoZero"/>
        <c:auto val="1"/>
        <c:lblAlgn val="ctr"/>
        <c:lblOffset val="100"/>
        <c:noMultiLvlLbl val="0"/>
      </c:catAx>
      <c:valAx>
        <c:axId val="1591579791"/>
        <c:scaling>
          <c:orientation val="minMax"/>
        </c:scaling>
        <c:delete val="1"/>
        <c:axPos val="l"/>
        <c:numFmt formatCode="General" sourceLinked="1"/>
        <c:majorTickMark val="none"/>
        <c:minorTickMark val="none"/>
        <c:tickLblPos val="nextTo"/>
        <c:crossAx val="1591573551"/>
        <c:crosses val="autoZero"/>
        <c:crossBetween val="between"/>
      </c:valAx>
      <c:spPr>
        <a:noFill/>
        <a:ln>
          <a:noFill/>
        </a:ln>
        <a:effectLst/>
      </c:spPr>
    </c:plotArea>
    <c:plotVisOnly val="1"/>
    <c:dispBlanksAs val="gap"/>
    <c:showDLblsOverMax val="0"/>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s-MX"/>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462643</xdr:colOff>
      <xdr:row>26</xdr:row>
      <xdr:rowOff>23130</xdr:rowOff>
    </xdr:from>
    <xdr:to>
      <xdr:col>9</xdr:col>
      <xdr:colOff>272143</xdr:colOff>
      <xdr:row>41</xdr:row>
      <xdr:rowOff>99330</xdr:rowOff>
    </xdr:to>
    <xdr:graphicFrame macro="">
      <xdr:nvGraphicFramePr>
        <xdr:cNvPr id="3" name="Gráfico 2">
          <a:extLst>
            <a:ext uri="{FF2B5EF4-FFF2-40B4-BE49-F238E27FC236}">
              <a16:creationId xmlns:a16="http://schemas.microsoft.com/office/drawing/2014/main" id="{D038C227-D42B-AC01-162D-CC0C25D335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yfs18.japan.gds.panasonic.com\f290$\&#12464;&#12523;&#12540;&#12503;&#21029;\&#12464;&#12525;&#12540;&#12496;&#12523;&#12464;&#12523;&#12540;&#12503;\02.&#12464;&#12525;&#12540;&#12496;&#12523;&#12481;&#12540;&#12512;\PSDCD&#25903;&#25588;\2008&#24180;&#24230;&#65374;\05.&#65321;&#65332;&#65331;&#65319;&#12424;&#12426;&#25552;&#20379;&#29289;\&#9733;&#26368;&#26032;&#29256;ITSG&#27161;&#28310;_20091020\&#24115;&#31080;\&#38283;&#30330;&#35336;&#30011;\&#38283;&#30330;&#35336;&#30011;&#2636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変更履歴"/>
      <sheetName val="基本開発計画"/>
      <sheetName val="要員計画"/>
      <sheetName val="コスト計画"/>
      <sheetName val="大日程"/>
      <sheetName val="推進体制"/>
      <sheetName val="管理プロセス運用計画"/>
      <sheetName val="構成管理計画"/>
      <sheetName val="開発環境・作業環境計画"/>
      <sheetName val="会議運営"/>
      <sheetName val="リスク管理表"/>
      <sheetName val="成果物一覧"/>
      <sheetName val="レビュー計画"/>
      <sheetName val="リスク参照表"/>
      <sheetName val="リスク候補リスト"/>
      <sheetName val="Tem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O19"/>
  <sheetViews>
    <sheetView showGridLines="0" topLeftCell="A8" zoomScale="85" zoomScaleNormal="85" workbookViewId="0">
      <selection activeCell="B4" sqref="B4:O8"/>
    </sheetView>
  </sheetViews>
  <sheetFormatPr baseColWidth="10" defaultColWidth="9" defaultRowHeight="14.25"/>
  <cols>
    <col min="1" max="1" width="5.75" style="11" customWidth="1"/>
    <col min="2" max="2" width="10.125" style="11" customWidth="1"/>
    <col min="3" max="3" width="30.75" style="11" customWidth="1"/>
    <col min="4" max="4" width="38" style="11" customWidth="1"/>
    <col min="5" max="5" width="43.875" style="11" customWidth="1"/>
    <col min="6" max="6" width="14.375" style="11" customWidth="1"/>
    <col min="7" max="7" width="8.875" style="11" customWidth="1"/>
    <col min="8" max="8" width="10.5" style="11" customWidth="1"/>
    <col min="9" max="9" width="10.125" style="11" customWidth="1"/>
    <col min="10" max="10" width="31.25" style="11" customWidth="1"/>
    <col min="11" max="11" width="14.75" style="11" customWidth="1"/>
    <col min="12" max="12" width="9" style="11"/>
    <col min="13" max="14" width="27.125" style="11" customWidth="1"/>
    <col min="15" max="15" width="8.875" style="11" customWidth="1"/>
    <col min="16" max="16384" width="9" style="11"/>
  </cols>
  <sheetData>
    <row r="2" spans="2:15" s="1" customFormat="1" ht="20.25">
      <c r="B2" s="32" t="s">
        <v>0</v>
      </c>
      <c r="C2" s="32"/>
      <c r="D2" s="32"/>
      <c r="E2" s="32"/>
      <c r="F2" s="32"/>
      <c r="G2" s="32"/>
      <c r="H2" s="32"/>
      <c r="I2" s="32"/>
      <c r="J2" s="32"/>
      <c r="K2" s="32"/>
      <c r="L2" s="32"/>
      <c r="M2" s="32"/>
      <c r="N2" s="32"/>
      <c r="O2" s="32"/>
    </row>
    <row r="3" spans="2:15" s="2" customFormat="1" ht="12"/>
    <row r="4" spans="2:15" s="2" customFormat="1" ht="28.5" customHeight="1">
      <c r="B4" s="33" t="s">
        <v>1</v>
      </c>
      <c r="C4" s="33"/>
      <c r="D4" s="33"/>
      <c r="E4" s="33"/>
      <c r="F4" s="33"/>
      <c r="G4" s="33"/>
      <c r="H4" s="33"/>
      <c r="I4" s="33"/>
      <c r="J4" s="33"/>
      <c r="K4" s="33"/>
      <c r="L4" s="33"/>
      <c r="M4" s="33"/>
      <c r="N4" s="33"/>
      <c r="O4" s="33"/>
    </row>
    <row r="5" spans="2:15" s="2" customFormat="1" ht="51.75" customHeight="1">
      <c r="B5" s="33"/>
      <c r="C5" s="33"/>
      <c r="D5" s="33"/>
      <c r="E5" s="33"/>
      <c r="F5" s="33"/>
      <c r="G5" s="33"/>
      <c r="H5" s="33"/>
      <c r="I5" s="33"/>
      <c r="J5" s="33"/>
      <c r="K5" s="33"/>
      <c r="L5" s="33"/>
      <c r="M5" s="33"/>
      <c r="N5" s="33"/>
      <c r="O5" s="33"/>
    </row>
    <row r="6" spans="2:15" s="2" customFormat="1" ht="28.5" hidden="1" customHeight="1">
      <c r="B6" s="33"/>
      <c r="C6" s="33"/>
      <c r="D6" s="33"/>
      <c r="E6" s="33"/>
      <c r="F6" s="33"/>
      <c r="G6" s="33"/>
      <c r="H6" s="33"/>
      <c r="I6" s="33"/>
      <c r="J6" s="33"/>
      <c r="K6" s="33"/>
      <c r="L6" s="33"/>
      <c r="M6" s="33"/>
      <c r="N6" s="33"/>
      <c r="O6" s="33"/>
    </row>
    <row r="7" spans="2:15" s="2" customFormat="1" ht="12" customHeight="1">
      <c r="B7" s="33"/>
      <c r="C7" s="33"/>
      <c r="D7" s="33"/>
      <c r="E7" s="33"/>
      <c r="F7" s="33"/>
      <c r="G7" s="33"/>
      <c r="H7" s="33"/>
      <c r="I7" s="33"/>
      <c r="J7" s="33"/>
      <c r="K7" s="33"/>
      <c r="L7" s="33"/>
      <c r="M7" s="33"/>
      <c r="N7" s="33"/>
      <c r="O7" s="33"/>
    </row>
    <row r="8" spans="2:15" s="2" customFormat="1" ht="12" customHeight="1">
      <c r="B8" s="33"/>
      <c r="C8" s="33"/>
      <c r="D8" s="33"/>
      <c r="E8" s="33"/>
      <c r="F8" s="33"/>
      <c r="G8" s="33"/>
      <c r="H8" s="33"/>
      <c r="I8" s="33"/>
      <c r="J8" s="33"/>
      <c r="K8" s="33"/>
      <c r="L8" s="33"/>
      <c r="M8" s="33"/>
      <c r="N8" s="33"/>
      <c r="O8" s="33"/>
    </row>
    <row r="9" spans="2:15" s="2" customFormat="1" ht="36.75" customHeight="1">
      <c r="B9" s="3"/>
      <c r="C9" s="3"/>
      <c r="D9" s="3"/>
      <c r="E9" s="3"/>
      <c r="F9" s="3"/>
      <c r="G9" s="3"/>
      <c r="H9" s="3"/>
      <c r="I9" s="3"/>
      <c r="J9" s="3"/>
      <c r="K9" s="3"/>
      <c r="L9" s="3"/>
      <c r="M9" s="3"/>
      <c r="N9" s="3"/>
      <c r="O9" s="3"/>
    </row>
    <row r="10" spans="2:15" s="2" customFormat="1" ht="36.75" customHeight="1">
      <c r="B10" s="24" t="s">
        <v>2</v>
      </c>
      <c r="C10" s="24" t="s">
        <v>3</v>
      </c>
      <c r="D10" s="24" t="s">
        <v>4</v>
      </c>
      <c r="E10" s="3"/>
      <c r="F10" s="3"/>
      <c r="G10" s="3"/>
      <c r="H10" s="3"/>
      <c r="I10" s="3"/>
      <c r="J10" s="3"/>
      <c r="K10" s="3"/>
      <c r="L10" s="3"/>
      <c r="M10" s="3"/>
      <c r="N10" s="3"/>
    </row>
    <row r="11" spans="2:15" s="2" customFormat="1" ht="45.75" customHeight="1">
      <c r="B11" s="25" t="s">
        <v>5</v>
      </c>
      <c r="C11" s="23" t="s">
        <v>6</v>
      </c>
      <c r="D11" s="23" t="s">
        <v>7</v>
      </c>
      <c r="E11" s="3"/>
      <c r="F11" s="3"/>
      <c r="G11" s="3"/>
      <c r="H11" s="3"/>
      <c r="I11" s="3"/>
      <c r="J11" s="3"/>
      <c r="K11" s="3"/>
      <c r="L11" s="3"/>
      <c r="M11" s="3"/>
      <c r="N11" s="3"/>
    </row>
    <row r="12" spans="2:15" s="2" customFormat="1" ht="36.75" customHeight="1">
      <c r="B12" s="25" t="s">
        <v>8</v>
      </c>
      <c r="C12" s="23" t="s">
        <v>9</v>
      </c>
      <c r="D12" s="23" t="s">
        <v>10</v>
      </c>
      <c r="E12" s="3"/>
      <c r="F12" s="3"/>
      <c r="G12" s="3"/>
      <c r="H12" s="3"/>
      <c r="I12" s="3"/>
      <c r="J12" s="3"/>
      <c r="K12" s="3"/>
      <c r="L12" s="3"/>
      <c r="M12" s="3"/>
      <c r="N12" s="3"/>
    </row>
    <row r="13" spans="2:15" s="2" customFormat="1" ht="36.75" customHeight="1">
      <c r="B13" s="25" t="s">
        <v>11</v>
      </c>
      <c r="C13" s="23" t="s">
        <v>12</v>
      </c>
      <c r="D13" s="23" t="s">
        <v>13</v>
      </c>
      <c r="E13" s="3"/>
      <c r="F13" s="3"/>
      <c r="G13" s="3"/>
      <c r="H13" s="3"/>
      <c r="I13" s="3"/>
      <c r="J13" s="3"/>
      <c r="K13" s="3"/>
      <c r="L13" s="3"/>
      <c r="M13" s="3"/>
      <c r="N13" s="3"/>
    </row>
    <row r="14" spans="2:15" s="2" customFormat="1" ht="36.75" customHeight="1">
      <c r="B14" s="3"/>
      <c r="C14" s="3"/>
      <c r="D14" s="3"/>
      <c r="E14" s="3"/>
      <c r="F14" s="3"/>
      <c r="G14" s="3"/>
      <c r="H14" s="3"/>
      <c r="I14" s="3"/>
      <c r="J14" s="3"/>
      <c r="K14" s="3"/>
      <c r="L14" s="3"/>
      <c r="M14" s="3"/>
      <c r="N14" s="3"/>
      <c r="O14" s="3"/>
    </row>
    <row r="15" spans="2:15" s="2" customFormat="1" ht="36.75" customHeight="1">
      <c r="B15" s="3"/>
      <c r="C15" s="34" t="s">
        <v>14</v>
      </c>
      <c r="D15" s="34"/>
      <c r="E15" s="3"/>
      <c r="F15" s="3"/>
      <c r="G15" s="3"/>
      <c r="H15" s="3"/>
      <c r="I15" s="3"/>
      <c r="J15" s="3"/>
      <c r="K15" s="3"/>
      <c r="L15" s="3"/>
      <c r="M15" s="3"/>
      <c r="N15" s="3"/>
      <c r="O15" s="3"/>
    </row>
    <row r="16" spans="2:15" ht="15">
      <c r="B16"/>
      <c r="C16" s="24" t="s">
        <v>15</v>
      </c>
      <c r="D16" s="24" t="s">
        <v>16</v>
      </c>
      <c r="G16" s="22"/>
      <c r="H16" s="22"/>
      <c r="I16" s="22"/>
      <c r="L16" s="22"/>
      <c r="M16" s="22"/>
      <c r="N16" s="22"/>
    </row>
    <row r="17" spans="2:9">
      <c r="B17"/>
      <c r="C17" s="23" t="s">
        <v>17</v>
      </c>
      <c r="D17" s="23" t="s">
        <v>18</v>
      </c>
      <c r="G17" s="22"/>
      <c r="H17" s="22"/>
      <c r="I17" s="22"/>
    </row>
    <row r="18" spans="2:9">
      <c r="B18"/>
      <c r="C18" s="23" t="s">
        <v>19</v>
      </c>
      <c r="D18" s="23" t="s">
        <v>20</v>
      </c>
    </row>
    <row r="19" spans="2:9">
      <c r="B19"/>
      <c r="C19" s="23" t="s">
        <v>21</v>
      </c>
      <c r="D19" s="23" t="s">
        <v>22</v>
      </c>
    </row>
  </sheetData>
  <mergeCells count="3">
    <mergeCell ref="B2:O2"/>
    <mergeCell ref="B4:O8"/>
    <mergeCell ref="C15:D15"/>
  </mergeCells>
  <phoneticPr fontId="3"/>
  <pageMargins left="0.75" right="0.75" top="1" bottom="1" header="0.51200000000000001" footer="0.51200000000000001"/>
  <pageSetup paperSize="9" scale="54" orientation="landscape" horizontalDpi="4294967293"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CCD0A0-534A-4CA8-9ED4-8BD97DBA06EB}">
  <dimension ref="A1:I22"/>
  <sheetViews>
    <sheetView workbookViewId="0">
      <selection activeCell="E22" sqref="E22"/>
    </sheetView>
  </sheetViews>
  <sheetFormatPr baseColWidth="10" defaultRowHeight="13.5"/>
  <sheetData>
    <row r="1" spans="1:9">
      <c r="A1" s="36" t="s">
        <v>95</v>
      </c>
      <c r="B1" s="36"/>
      <c r="C1" s="36"/>
      <c r="D1" s="36"/>
      <c r="E1" s="36"/>
      <c r="F1" s="36"/>
      <c r="G1" s="36"/>
      <c r="H1" s="36"/>
      <c r="I1" s="36"/>
    </row>
    <row r="2" spans="1:9">
      <c r="A2" s="36"/>
      <c r="B2" s="36"/>
      <c r="C2" s="36"/>
      <c r="D2" s="36"/>
      <c r="E2" s="36"/>
      <c r="F2" s="36"/>
      <c r="G2" s="36"/>
      <c r="H2" s="36"/>
      <c r="I2" s="36"/>
    </row>
    <row r="4" spans="1:9">
      <c r="A4" s="35" t="s">
        <v>96</v>
      </c>
      <c r="B4" s="35"/>
      <c r="C4" s="35"/>
      <c r="D4" s="35"/>
      <c r="E4" s="35"/>
      <c r="F4" s="35"/>
      <c r="G4" s="35"/>
      <c r="H4" s="35"/>
      <c r="I4" s="35"/>
    </row>
    <row r="5" spans="1:9">
      <c r="A5" s="35"/>
      <c r="B5" s="35"/>
      <c r="C5" s="35"/>
      <c r="D5" s="35"/>
      <c r="E5" s="35"/>
      <c r="F5" s="35"/>
      <c r="G5" s="35"/>
      <c r="H5" s="35"/>
      <c r="I5" s="35"/>
    </row>
    <row r="6" spans="1:9">
      <c r="A6" s="35"/>
      <c r="B6" s="35"/>
      <c r="C6" s="35"/>
      <c r="D6" s="35"/>
      <c r="E6" s="35"/>
      <c r="F6" s="35"/>
      <c r="G6" s="35"/>
      <c r="H6" s="35"/>
      <c r="I6" s="35"/>
    </row>
    <row r="7" spans="1:9">
      <c r="A7" s="35"/>
      <c r="B7" s="35"/>
      <c r="C7" s="35"/>
      <c r="D7" s="35"/>
      <c r="E7" s="35"/>
      <c r="F7" s="35"/>
      <c r="G7" s="35"/>
      <c r="H7" s="35"/>
      <c r="I7" s="35"/>
    </row>
    <row r="8" spans="1:9">
      <c r="A8" s="35"/>
      <c r="B8" s="35"/>
      <c r="C8" s="35"/>
      <c r="D8" s="35"/>
      <c r="E8" s="35"/>
      <c r="F8" s="35"/>
      <c r="G8" s="35"/>
      <c r="H8" s="35"/>
      <c r="I8" s="35"/>
    </row>
    <row r="9" spans="1:9">
      <c r="A9" s="35"/>
      <c r="B9" s="35"/>
      <c r="C9" s="35"/>
      <c r="D9" s="35"/>
      <c r="E9" s="35"/>
      <c r="F9" s="35"/>
      <c r="G9" s="35"/>
      <c r="H9" s="35"/>
      <c r="I9" s="35"/>
    </row>
    <row r="10" spans="1:9">
      <c r="A10" s="35"/>
      <c r="B10" s="35"/>
      <c r="C10" s="35"/>
      <c r="D10" s="35"/>
      <c r="E10" s="35"/>
      <c r="F10" s="35"/>
      <c r="G10" s="35"/>
      <c r="H10" s="35"/>
      <c r="I10" s="35"/>
    </row>
    <row r="11" spans="1:9">
      <c r="A11" s="35"/>
      <c r="B11" s="35"/>
      <c r="C11" s="35"/>
      <c r="D11" s="35"/>
      <c r="E11" s="35"/>
      <c r="F11" s="35"/>
      <c r="G11" s="35"/>
      <c r="H11" s="35"/>
      <c r="I11" s="35"/>
    </row>
    <row r="22" spans="5:5">
      <c r="E22" s="31"/>
    </row>
  </sheetData>
  <mergeCells count="2">
    <mergeCell ref="A4:I11"/>
    <mergeCell ref="A1:I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0324A-7243-4078-8C98-205EC6A393BB}">
  <dimension ref="A1:N41"/>
  <sheetViews>
    <sheetView tabSelected="1" topLeftCell="C18" zoomScale="70" zoomScaleNormal="70" workbookViewId="0">
      <selection activeCell="K30" sqref="K30:K41"/>
    </sheetView>
  </sheetViews>
  <sheetFormatPr baseColWidth="10" defaultColWidth="11" defaultRowHeight="13.5"/>
  <cols>
    <col min="1" max="1" width="10.125" customWidth="1"/>
    <col min="2" max="2" width="30.375" customWidth="1"/>
    <col min="3" max="3" width="43.875" customWidth="1"/>
    <col min="4" max="4" width="12" customWidth="1"/>
    <col min="5" max="5" width="8.875" customWidth="1"/>
    <col min="6" max="7" width="10.5" customWidth="1"/>
    <col min="8" max="8" width="10.125" customWidth="1"/>
    <col min="9" max="9" width="31.25" customWidth="1"/>
    <col min="10" max="10" width="14.75" customWidth="1"/>
    <col min="11" max="11" width="9"/>
    <col min="12" max="13" width="27.125" customWidth="1"/>
    <col min="14" max="14" width="8.875" customWidth="1"/>
  </cols>
  <sheetData>
    <row r="1" spans="1:14" ht="14.25" thickBot="1">
      <c r="K1" s="37" t="s">
        <v>23</v>
      </c>
      <c r="L1" s="38"/>
      <c r="M1" s="38"/>
      <c r="N1" s="39"/>
    </row>
    <row r="2" spans="1:14" ht="14.25">
      <c r="A2" s="44" t="s">
        <v>24</v>
      </c>
      <c r="B2" s="46" t="s">
        <v>25</v>
      </c>
      <c r="C2" s="48" t="s">
        <v>26</v>
      </c>
      <c r="D2" s="48" t="s">
        <v>27</v>
      </c>
      <c r="E2" s="50" t="s">
        <v>4</v>
      </c>
      <c r="F2" s="52" t="s">
        <v>3</v>
      </c>
      <c r="G2" s="52" t="s">
        <v>28</v>
      </c>
      <c r="H2" s="50" t="s">
        <v>29</v>
      </c>
      <c r="I2" s="54" t="s">
        <v>30</v>
      </c>
      <c r="J2" s="55"/>
      <c r="K2" s="56" t="s">
        <v>31</v>
      </c>
      <c r="L2" s="40" t="s">
        <v>32</v>
      </c>
      <c r="M2" s="40" t="s">
        <v>33</v>
      </c>
      <c r="N2" s="42" t="s">
        <v>34</v>
      </c>
    </row>
    <row r="3" spans="1:14" ht="29.25" thickBot="1">
      <c r="A3" s="45"/>
      <c r="B3" s="47"/>
      <c r="C3" s="49"/>
      <c r="D3" s="49"/>
      <c r="E3" s="51"/>
      <c r="F3" s="53"/>
      <c r="G3" s="53"/>
      <c r="H3" s="51"/>
      <c r="I3" s="4" t="s">
        <v>35</v>
      </c>
      <c r="J3" s="26" t="s">
        <v>36</v>
      </c>
      <c r="K3" s="57"/>
      <c r="L3" s="41"/>
      <c r="M3" s="41"/>
      <c r="N3" s="43"/>
    </row>
    <row r="4" spans="1:14" ht="14.25">
      <c r="A4" s="5" t="s">
        <v>37</v>
      </c>
      <c r="B4" s="7" t="s">
        <v>38</v>
      </c>
      <c r="C4" s="28" t="s">
        <v>39</v>
      </c>
      <c r="D4" s="14">
        <v>44862</v>
      </c>
      <c r="E4" s="7">
        <v>1</v>
      </c>
      <c r="F4" s="7">
        <v>1</v>
      </c>
      <c r="G4" s="27">
        <f>E4*F4</f>
        <v>1</v>
      </c>
      <c r="H4" s="15" t="s">
        <v>40</v>
      </c>
      <c r="I4" s="29" t="s">
        <v>41</v>
      </c>
      <c r="J4" s="6"/>
      <c r="K4" s="8" t="s">
        <v>42</v>
      </c>
      <c r="L4" s="9" t="s">
        <v>43</v>
      </c>
      <c r="M4" s="9" t="s">
        <v>89</v>
      </c>
      <c r="N4" s="10">
        <v>1</v>
      </c>
    </row>
    <row r="5" spans="1:14" ht="27">
      <c r="A5" s="12" t="s">
        <v>44</v>
      </c>
      <c r="B5" s="13" t="s">
        <v>45</v>
      </c>
      <c r="C5" s="28" t="s">
        <v>46</v>
      </c>
      <c r="D5" s="14">
        <v>44863</v>
      </c>
      <c r="E5" s="15">
        <v>3</v>
      </c>
      <c r="F5" s="15">
        <v>1</v>
      </c>
      <c r="G5" s="27">
        <f t="shared" ref="G5:G13" si="0">E5*F5</f>
        <v>3</v>
      </c>
      <c r="H5" s="15" t="s">
        <v>47</v>
      </c>
      <c r="I5" s="29" t="s">
        <v>48</v>
      </c>
      <c r="J5" s="14"/>
      <c r="K5" s="12" t="s">
        <v>42</v>
      </c>
      <c r="L5" s="13" t="s">
        <v>50</v>
      </c>
      <c r="M5" s="13" t="s">
        <v>90</v>
      </c>
      <c r="N5" s="16">
        <v>1</v>
      </c>
    </row>
    <row r="6" spans="1:14" ht="15" thickBot="1">
      <c r="A6" s="12" t="s">
        <v>51</v>
      </c>
      <c r="B6" s="13" t="s">
        <v>45</v>
      </c>
      <c r="C6" s="28" t="s">
        <v>52</v>
      </c>
      <c r="D6" s="14">
        <v>44864</v>
      </c>
      <c r="E6" s="15">
        <v>3</v>
      </c>
      <c r="F6" s="15">
        <v>3</v>
      </c>
      <c r="G6" s="27">
        <f t="shared" si="0"/>
        <v>9</v>
      </c>
      <c r="H6" s="15" t="s">
        <v>40</v>
      </c>
      <c r="I6" s="29" t="s">
        <v>53</v>
      </c>
      <c r="J6" s="14"/>
      <c r="K6" s="12" t="s">
        <v>49</v>
      </c>
      <c r="L6" s="13" t="s">
        <v>54</v>
      </c>
      <c r="M6" s="13" t="s">
        <v>91</v>
      </c>
      <c r="N6" s="16">
        <v>1</v>
      </c>
    </row>
    <row r="7" spans="1:14" ht="27">
      <c r="A7" s="5" t="s">
        <v>55</v>
      </c>
      <c r="B7" s="13" t="s">
        <v>45</v>
      </c>
      <c r="C7" s="28" t="s">
        <v>56</v>
      </c>
      <c r="D7" s="14">
        <v>44865</v>
      </c>
      <c r="E7" s="15">
        <v>1</v>
      </c>
      <c r="F7" s="15">
        <v>1</v>
      </c>
      <c r="G7" s="27">
        <f t="shared" si="0"/>
        <v>1</v>
      </c>
      <c r="H7" s="15" t="s">
        <v>57</v>
      </c>
      <c r="I7" s="29" t="s">
        <v>58</v>
      </c>
      <c r="J7" s="14"/>
      <c r="K7" s="12" t="s">
        <v>42</v>
      </c>
      <c r="L7" s="13" t="s">
        <v>59</v>
      </c>
      <c r="M7" s="13" t="s">
        <v>91</v>
      </c>
      <c r="N7" s="16">
        <v>1</v>
      </c>
    </row>
    <row r="8" spans="1:14" ht="41.25" thickBot="1">
      <c r="A8" s="12" t="s">
        <v>60</v>
      </c>
      <c r="B8" s="13" t="s">
        <v>61</v>
      </c>
      <c r="C8" s="28" t="s">
        <v>62</v>
      </c>
      <c r="D8" s="14">
        <v>44865</v>
      </c>
      <c r="E8" s="15">
        <v>2</v>
      </c>
      <c r="F8" s="15">
        <v>2</v>
      </c>
      <c r="G8" s="27">
        <f t="shared" si="0"/>
        <v>4</v>
      </c>
      <c r="H8" s="15" t="s">
        <v>40</v>
      </c>
      <c r="I8" s="29" t="s">
        <v>63</v>
      </c>
      <c r="J8" s="14"/>
      <c r="K8" s="12" t="s">
        <v>42</v>
      </c>
      <c r="L8" s="13" t="s">
        <v>43</v>
      </c>
      <c r="M8" s="13" t="s">
        <v>93</v>
      </c>
      <c r="N8" s="16">
        <v>1</v>
      </c>
    </row>
    <row r="9" spans="1:14" ht="27">
      <c r="A9" s="5" t="s">
        <v>64</v>
      </c>
      <c r="B9" s="13" t="s">
        <v>61</v>
      </c>
      <c r="C9" s="28" t="s">
        <v>65</v>
      </c>
      <c r="D9" s="14">
        <v>44865</v>
      </c>
      <c r="E9" s="15">
        <v>2</v>
      </c>
      <c r="F9" s="15">
        <v>1</v>
      </c>
      <c r="G9" s="27">
        <f t="shared" si="0"/>
        <v>2</v>
      </c>
      <c r="H9" s="15" t="s">
        <v>40</v>
      </c>
      <c r="I9" s="29" t="s">
        <v>66</v>
      </c>
      <c r="J9" s="14"/>
      <c r="K9" s="12" t="s">
        <v>49</v>
      </c>
      <c r="L9" s="13" t="s">
        <v>54</v>
      </c>
      <c r="M9" s="13" t="s">
        <v>89</v>
      </c>
      <c r="N9" s="16">
        <v>1</v>
      </c>
    </row>
    <row r="10" spans="1:14" ht="27">
      <c r="A10" s="12" t="s">
        <v>67</v>
      </c>
      <c r="B10" s="13" t="s">
        <v>61</v>
      </c>
      <c r="C10" s="28" t="s">
        <v>68</v>
      </c>
      <c r="D10" s="14">
        <v>44866</v>
      </c>
      <c r="E10" s="15">
        <v>2</v>
      </c>
      <c r="F10" s="15">
        <v>1</v>
      </c>
      <c r="G10" s="27">
        <f t="shared" si="0"/>
        <v>2</v>
      </c>
      <c r="H10" s="15" t="s">
        <v>57</v>
      </c>
      <c r="I10" s="29" t="s">
        <v>69</v>
      </c>
      <c r="J10" s="14"/>
      <c r="K10" s="12" t="s">
        <v>42</v>
      </c>
      <c r="L10" s="13" t="s">
        <v>70</v>
      </c>
      <c r="M10" s="13" t="s">
        <v>94</v>
      </c>
      <c r="N10" s="16">
        <v>1</v>
      </c>
    </row>
    <row r="11" spans="1:14" ht="40.5">
      <c r="A11" s="12" t="s">
        <v>71</v>
      </c>
      <c r="B11" s="13" t="s">
        <v>61</v>
      </c>
      <c r="C11" s="28" t="s">
        <v>72</v>
      </c>
      <c r="D11" s="14">
        <v>44867</v>
      </c>
      <c r="E11" s="15">
        <v>3</v>
      </c>
      <c r="F11" s="15">
        <v>2</v>
      </c>
      <c r="G11" s="27">
        <f t="shared" si="0"/>
        <v>6</v>
      </c>
      <c r="H11" s="15" t="s">
        <v>40</v>
      </c>
      <c r="I11" s="29" t="s">
        <v>73</v>
      </c>
      <c r="J11" s="14"/>
      <c r="K11" s="12" t="s">
        <v>42</v>
      </c>
      <c r="L11" s="13" t="s">
        <v>17</v>
      </c>
      <c r="M11" s="13" t="s">
        <v>90</v>
      </c>
      <c r="N11" s="16">
        <v>1</v>
      </c>
    </row>
    <row r="12" spans="1:14" ht="27.75" thickBot="1">
      <c r="A12" s="12" t="s">
        <v>74</v>
      </c>
      <c r="B12" s="13" t="s">
        <v>61</v>
      </c>
      <c r="C12" s="28" t="s">
        <v>75</v>
      </c>
      <c r="D12" s="14">
        <v>44865</v>
      </c>
      <c r="E12" s="15">
        <v>2</v>
      </c>
      <c r="F12" s="15">
        <v>1</v>
      </c>
      <c r="G12" s="27">
        <f t="shared" si="0"/>
        <v>2</v>
      </c>
      <c r="H12" s="15" t="s">
        <v>57</v>
      </c>
      <c r="I12" s="29" t="s">
        <v>76</v>
      </c>
      <c r="J12" s="14"/>
      <c r="K12" s="12" t="s">
        <v>42</v>
      </c>
      <c r="L12" s="13" t="s">
        <v>17</v>
      </c>
      <c r="M12" s="13" t="s">
        <v>92</v>
      </c>
      <c r="N12" s="16">
        <v>1</v>
      </c>
    </row>
    <row r="13" spans="1:14" ht="15" thickBot="1">
      <c r="A13" s="12" t="s">
        <v>77</v>
      </c>
      <c r="B13" s="13" t="s">
        <v>78</v>
      </c>
      <c r="C13" s="28" t="s">
        <v>79</v>
      </c>
      <c r="D13" s="14">
        <v>44865</v>
      </c>
      <c r="E13" s="15">
        <v>3</v>
      </c>
      <c r="F13" s="15">
        <v>1</v>
      </c>
      <c r="G13" s="27">
        <f t="shared" si="0"/>
        <v>3</v>
      </c>
      <c r="H13" s="15" t="s">
        <v>57</v>
      </c>
      <c r="I13" s="13" t="s">
        <v>80</v>
      </c>
      <c r="J13" s="14"/>
      <c r="K13" s="12" t="s">
        <v>42</v>
      </c>
      <c r="L13" s="13" t="s">
        <v>43</v>
      </c>
      <c r="M13" s="13" t="s">
        <v>94</v>
      </c>
      <c r="N13" s="16">
        <v>1</v>
      </c>
    </row>
    <row r="14" spans="1:14" ht="21.75" customHeight="1">
      <c r="A14" s="5" t="s">
        <v>81</v>
      </c>
      <c r="B14" s="13" t="s">
        <v>78</v>
      </c>
      <c r="C14" s="28" t="s">
        <v>82</v>
      </c>
      <c r="D14" s="14">
        <v>44865</v>
      </c>
      <c r="E14" s="15">
        <v>1</v>
      </c>
      <c r="F14" s="15">
        <v>1</v>
      </c>
      <c r="G14" s="27">
        <f>E14*F14</f>
        <v>1</v>
      </c>
      <c r="H14" s="15" t="s">
        <v>57</v>
      </c>
      <c r="I14" s="13" t="s">
        <v>80</v>
      </c>
      <c r="J14" s="14"/>
      <c r="K14" s="12" t="s">
        <v>42</v>
      </c>
      <c r="L14" s="13" t="s">
        <v>54</v>
      </c>
      <c r="M14" s="13" t="s">
        <v>94</v>
      </c>
      <c r="N14" s="16">
        <v>1</v>
      </c>
    </row>
    <row r="15" spans="1:14" ht="43.5" thickBot="1">
      <c r="A15" s="12" t="s">
        <v>83</v>
      </c>
      <c r="B15" s="18" t="s">
        <v>84</v>
      </c>
      <c r="C15" s="28" t="s">
        <v>85</v>
      </c>
      <c r="D15" s="14">
        <v>44866</v>
      </c>
      <c r="E15" s="20">
        <v>2</v>
      </c>
      <c r="F15" s="20">
        <v>1</v>
      </c>
      <c r="G15" s="27">
        <f>E15*F15</f>
        <v>2</v>
      </c>
      <c r="H15" s="15" t="s">
        <v>40</v>
      </c>
      <c r="I15" s="30" t="s">
        <v>86</v>
      </c>
      <c r="J15" s="19"/>
      <c r="K15" s="17" t="s">
        <v>49</v>
      </c>
      <c r="L15" s="18" t="s">
        <v>54</v>
      </c>
      <c r="M15" s="18" t="s">
        <v>92</v>
      </c>
      <c r="N15" s="21">
        <v>1</v>
      </c>
    </row>
    <row r="19" spans="2:11">
      <c r="C19" t="s">
        <v>17</v>
      </c>
    </row>
    <row r="20" spans="2:11">
      <c r="C20" t="s">
        <v>87</v>
      </c>
    </row>
    <row r="21" spans="2:11">
      <c r="C21" t="s">
        <v>43</v>
      </c>
    </row>
    <row r="23" spans="2:11">
      <c r="B23" t="s">
        <v>88</v>
      </c>
      <c r="C23" t="s">
        <v>18</v>
      </c>
    </row>
    <row r="24" spans="2:11">
      <c r="C24" t="s">
        <v>70</v>
      </c>
    </row>
    <row r="25" spans="2:11">
      <c r="C25" t="s">
        <v>43</v>
      </c>
    </row>
    <row r="30" spans="2:11" ht="14.25">
      <c r="K30" s="9" t="s">
        <v>43</v>
      </c>
    </row>
    <row r="31" spans="2:11" ht="14.25">
      <c r="K31" s="13" t="s">
        <v>43</v>
      </c>
    </row>
    <row r="32" spans="2:11" ht="14.25">
      <c r="K32" s="13" t="s">
        <v>43</v>
      </c>
    </row>
    <row r="33" spans="11:11" ht="14.25">
      <c r="K33" s="13" t="s">
        <v>70</v>
      </c>
    </row>
    <row r="34" spans="11:11" ht="14.25">
      <c r="K34" s="13" t="s">
        <v>50</v>
      </c>
    </row>
    <row r="35" spans="11:11" ht="14.25">
      <c r="K35" s="13" t="s">
        <v>17</v>
      </c>
    </row>
    <row r="36" spans="11:11" ht="14.25">
      <c r="K36" s="13" t="s">
        <v>17</v>
      </c>
    </row>
    <row r="37" spans="11:11" ht="14.25">
      <c r="K37" s="13" t="s">
        <v>54</v>
      </c>
    </row>
    <row r="38" spans="11:11" ht="14.25">
      <c r="K38" s="13" t="s">
        <v>54</v>
      </c>
    </row>
    <row r="39" spans="11:11" ht="14.25">
      <c r="K39" s="13" t="s">
        <v>54</v>
      </c>
    </row>
    <row r="40" spans="11:11" ht="14.25">
      <c r="K40" s="13" t="s">
        <v>54</v>
      </c>
    </row>
    <row r="41" spans="11:11" ht="15" thickBot="1">
      <c r="K41" s="18" t="s">
        <v>59</v>
      </c>
    </row>
  </sheetData>
  <sortState xmlns:xlrd2="http://schemas.microsoft.com/office/spreadsheetml/2017/richdata2" ref="K31:K41">
    <sortCondition ref="K30:K41"/>
  </sortState>
  <mergeCells count="14">
    <mergeCell ref="K1:N1"/>
    <mergeCell ref="M2:M3"/>
    <mergeCell ref="N2:N3"/>
    <mergeCell ref="A2:A3"/>
    <mergeCell ref="B2:B3"/>
    <mergeCell ref="C2:C3"/>
    <mergeCell ref="D2:D3"/>
    <mergeCell ref="E2:E3"/>
    <mergeCell ref="F2:F3"/>
    <mergeCell ref="G2:G3"/>
    <mergeCell ref="H2:H3"/>
    <mergeCell ref="I2:J2"/>
    <mergeCell ref="K2:K3"/>
    <mergeCell ref="L2:L3"/>
  </mergeCells>
  <phoneticPr fontId="13" type="noConversion"/>
  <conditionalFormatting sqref="E4:F15 A4:B15 J4:N15 H4:H15">
    <cfRule type="expression" dxfId="8" priority="16" stopIfTrue="1">
      <formula>$L4="close"</formula>
    </cfRule>
  </conditionalFormatting>
  <conditionalFormatting sqref="C10:C12 I10:I12 C4:C7 D4:D15 I4:I7">
    <cfRule type="expression" dxfId="7" priority="12" stopIfTrue="1">
      <formula>$M4="close"</formula>
    </cfRule>
  </conditionalFormatting>
  <conditionalFormatting sqref="C8:C9">
    <cfRule type="expression" dxfId="6" priority="8" stopIfTrue="1">
      <formula>$M8="close"</formula>
    </cfRule>
  </conditionalFormatting>
  <conditionalFormatting sqref="I8:I9">
    <cfRule type="expression" dxfId="5" priority="6" stopIfTrue="1">
      <formula>$M8="close"</formula>
    </cfRule>
  </conditionalFormatting>
  <conditionalFormatting sqref="C13:C14">
    <cfRule type="expression" dxfId="4" priority="5" stopIfTrue="1">
      <formula>$M13="close"</formula>
    </cfRule>
  </conditionalFormatting>
  <conditionalFormatting sqref="C15">
    <cfRule type="expression" dxfId="3" priority="4" stopIfTrue="1">
      <formula>$M15="close"</formula>
    </cfRule>
  </conditionalFormatting>
  <conditionalFormatting sqref="I15">
    <cfRule type="expression" dxfId="2" priority="2" stopIfTrue="1">
      <formula>$M15="close"</formula>
    </cfRule>
  </conditionalFormatting>
  <conditionalFormatting sqref="I13:I14">
    <cfRule type="expression" dxfId="1" priority="18" stopIfTrue="1">
      <formula>$L12="close"</formula>
    </cfRule>
  </conditionalFormatting>
  <conditionalFormatting sqref="K30:K41">
    <cfRule type="expression" dxfId="0" priority="1" stopIfTrue="1">
      <formula>$L30="close"</formula>
    </cfRule>
  </conditionalFormatting>
  <dataValidations count="5">
    <dataValidation type="list" allowBlank="1" showInputMessage="1" showErrorMessage="1" sqref="B4" xr:uid="{94E2BEB6-DE11-4014-BC24-3A100014D1E5}">
      <formula1>"Organizacional, técnica, producto, proceso"</formula1>
    </dataValidation>
    <dataValidation type="list" allowBlank="1" showInputMessage="1" showErrorMessage="1" sqref="B5:B15" xr:uid="{7883DCC6-020F-4000-B307-140A98E3B407}">
      <formula1>"Organizational,Technical, Business ,Product"</formula1>
    </dataValidation>
    <dataValidation type="list" allowBlank="1" showInputMessage="1" showErrorMessage="1" sqref="E4:F15" xr:uid="{48601DF2-39A2-4602-A8B5-E5CDE549CB50}">
      <formula1>"1,2,3"</formula1>
    </dataValidation>
    <dataValidation type="list" allowBlank="1" showInputMessage="1" showErrorMessage="1" sqref="K4:K15" xr:uid="{25DACD85-456C-4589-A5FE-C314DB4D080A}">
      <formula1>"close,open"</formula1>
    </dataValidation>
    <dataValidation type="list" allowBlank="1" showInputMessage="1" showErrorMessage="1" sqref="H4:H15" xr:uid="{9579495F-7FA1-4DBE-A236-908E66C122CD}">
      <formula1>"Alta, Media, Baja"</formula1>
    </dataValidation>
  </dataValidations>
  <pageMargins left="0.7" right="0.7" top="0.75" bottom="0.75" header="0.3" footer="0.3"/>
  <pageSetup orientation="portrait"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7A726EB317812F4297D0762845A8631A" ma:contentTypeVersion="13" ma:contentTypeDescription="Crear nuevo documento." ma:contentTypeScope="" ma:versionID="f9d9024c2fc06d25286dd435cb9c081f">
  <xsd:schema xmlns:xsd="http://www.w3.org/2001/XMLSchema" xmlns:xs="http://www.w3.org/2001/XMLSchema" xmlns:p="http://schemas.microsoft.com/office/2006/metadata/properties" xmlns:ns3="663eeab7-25db-4dad-a806-4cd0c14327fb" xmlns:ns4="1df7af03-5a0c-4f28-87e0-5998c9c482d5" targetNamespace="http://schemas.microsoft.com/office/2006/metadata/properties" ma:root="true" ma:fieldsID="037f72badbee732761307b3db1b15f42" ns3:_="" ns4:_="">
    <xsd:import namespace="663eeab7-25db-4dad-a806-4cd0c14327fb"/>
    <xsd:import namespace="1df7af03-5a0c-4f28-87e0-5998c9c482d5"/>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3:MediaServiceDateTaken"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3eeab7-25db-4dad-a806-4cd0c14327f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1df7af03-5a0c-4f28-87e0-5998c9c482d5" elementFormDefault="qualified">
    <xsd:import namespace="http://schemas.microsoft.com/office/2006/documentManagement/types"/>
    <xsd:import namespace="http://schemas.microsoft.com/office/infopath/2007/PartnerControls"/>
    <xsd:element name="SharedWithUsers" ma:index="13"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internalName="SharedWithDetails" ma:readOnly="true">
      <xsd:simpleType>
        <xsd:restriction base="dms:Note">
          <xsd:maxLength value="255"/>
        </xsd:restriction>
      </xsd:simpleType>
    </xsd:element>
    <xsd:element name="SharingHintHash" ma:index="15" nillable="true" ma:displayName="Hash de la sugerencia para comparti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228A0D1-633D-4DC5-9013-FF1BF9C7E3C8}">
  <ds:schemaRefs>
    <ds:schemaRef ds:uri="http://purl.org/dc/terms/"/>
    <ds:schemaRef ds:uri="http://schemas.openxmlformats.org/package/2006/metadata/core-properties"/>
    <ds:schemaRef ds:uri="http://purl.org/dc/elements/1.1/"/>
    <ds:schemaRef ds:uri="http://purl.org/dc/dcmitype/"/>
    <ds:schemaRef ds:uri="http://www.w3.org/XML/1998/namespace"/>
    <ds:schemaRef ds:uri="http://schemas.microsoft.com/office/infopath/2007/PartnerControls"/>
    <ds:schemaRef ds:uri="http://schemas.microsoft.com/office/2006/documentManagement/types"/>
    <ds:schemaRef ds:uri="1df7af03-5a0c-4f28-87e0-5998c9c482d5"/>
    <ds:schemaRef ds:uri="663eeab7-25db-4dad-a806-4cd0c14327fb"/>
    <ds:schemaRef ds:uri="http://schemas.microsoft.com/office/2006/metadata/properties"/>
  </ds:schemaRefs>
</ds:datastoreItem>
</file>

<file path=customXml/itemProps2.xml><?xml version="1.0" encoding="utf-8"?>
<ds:datastoreItem xmlns:ds="http://schemas.openxmlformats.org/officeDocument/2006/customXml" ds:itemID="{46FD607F-7698-484E-8EE2-2068195DE264}">
  <ds:schemaRefs>
    <ds:schemaRef ds:uri="http://schemas.microsoft.com/sharepoint/v3/contenttype/forms"/>
  </ds:schemaRefs>
</ds:datastoreItem>
</file>

<file path=customXml/itemProps3.xml><?xml version="1.0" encoding="utf-8"?>
<ds:datastoreItem xmlns:ds="http://schemas.openxmlformats.org/officeDocument/2006/customXml" ds:itemID="{90534B77-4D1D-4215-A4E8-6CA0A30699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3eeab7-25db-4dad-a806-4cd0c14327fb"/>
    <ds:schemaRef ds:uri="1df7af03-5a0c-4f28-87e0-5998c9c482d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Administración de riesgos</vt:lpstr>
      <vt:lpstr>Pagina </vt:lpstr>
      <vt:lpstr>Definición y control</vt:lpstr>
    </vt:vector>
  </TitlesOfParts>
  <Manager/>
  <Company>UV-LIS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Mario Jiménez</dc:creator>
  <cp:keywords/>
  <dc:description/>
  <cp:lastModifiedBy>Mario Jimenez</cp:lastModifiedBy>
  <cp:revision/>
  <dcterms:created xsi:type="dcterms:W3CDTF">2010-06-03T01:32:46Z</dcterms:created>
  <dcterms:modified xsi:type="dcterms:W3CDTF">2022-12-02T07:01:51Z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0x0101007A726EB317812F4297D0762845A8631A</vt:lpwstr>
  </property>
</Properties>
</file>